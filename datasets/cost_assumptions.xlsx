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6883b6bc9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_inputs" sheetId="1" r:id="R0d5276fa38d94831"/>
    <x:sheet xmlns:r="http://schemas.openxmlformats.org/officeDocument/2006/relationships" name="value_inputs" sheetId="2" r:id="R9ad02c41c3eb4e05"/>
    <x:sheet xmlns:r="http://schemas.openxmlformats.org/officeDocument/2006/relationships" name="solution_menu" sheetId="3" r:id="R6f10ca1dc6b8456f"/>
    <x:sheet xmlns:r="http://schemas.openxmlformats.org/officeDocument/2006/relationships" name="how_to_use" sheetId="4" r:id="Rb513698dde2a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2933"/>
      <x:name val="Carlito"/>
    </x:font>
    <x:font>
      <x:b/>
      <x:sz val="11"/>
      <x:color rgb="FFFFFFFF"/>
      <x:name val="Carlito"/>
    </x:font>
    <x:font>
      <x:b/>
      <x:sz val="15"/>
      <x:color rgb="FF1F2933"/>
      <x:name val="Aptos"/>
    </x:font>
    <x:font>
      <x:sz val="11"/>
      <x:color rgb="FF1F2933"/>
      <x:name val="Aptos"/>
    </x:font>
    <x:font>
      <x:i/>
      <x:sz val="11"/>
      <x:color rgb="FF1F2933"/>
      <x:name val="Aptos"/>
    </x:font>
    <x:font>
      <x:b/>
      <x:sz val="11"/>
      <x:color rgb="FF1F29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6FAFB"/>
      </x:patternFill>
    </x:fill>
    <x:fill>
      <x:patternFill patternType="solid">
        <x:fgColor rgb="FF2A9D8F"/>
      </x:patternFill>
    </x:fill>
  </x:fills>
  <x:borders count="8">
    <x:border/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bottom style="thin">
        <x:color rgb="FFD9E2E7"/>
      </x:bottom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0" fillId="0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0" xfId="0" applyNumberFormat="1" applyFont="1" applyFill="1" applyBorder="1"/>
    <x:xf numFmtId="0" fontId="6" fillId="3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7" fillId="4" borderId="7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200" fontId="5" fillId="0" borderId="7" xfId="0" applyNumberFormat="1" applyFont="1" applyFill="1" applyBorder="1" applyAlignment="1">
      <x:alignment wrapText="1"/>
    </x:xf>
    <x:xf numFmtId="201" fontId="5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36efe25354c78" /><Relationship Type="http://schemas.openxmlformats.org/officeDocument/2006/relationships/theme" Target="/xl/theme/theme1.xml" Id="Raac16f04d934495d" /><Relationship Type="http://schemas.openxmlformats.org/officeDocument/2006/relationships/sharedStrings" Target="/xl/sharedStrings.xml" Id="Rb002ae5b2cea48b3" /><Relationship Type="http://schemas.openxmlformats.org/officeDocument/2006/relationships/worksheet" Target="/xl/worksheets/sheet1.xml" Id="R0d5276fa38d94831" /><Relationship Type="http://schemas.openxmlformats.org/officeDocument/2006/relationships/worksheet" Target="/xl/worksheets/sheet2.xml" Id="R9ad02c41c3eb4e05" /><Relationship Type="http://schemas.openxmlformats.org/officeDocument/2006/relationships/worksheet" Target="/xl/worksheets/sheet3.xml" Id="R6f10ca1dc6b8456f" /><Relationship Type="http://schemas.openxmlformats.org/officeDocument/2006/relationships/worksheet" Target="/xl/worksheets/sheet4.xml" Id="Rb513698dde2a4570" /></Relationships>
</file>

<file path=xl/tables/table1.xml><?xml version="1.0" encoding="utf-8"?>
<x:table xmlns:x="http://schemas.openxmlformats.org/spreadsheetml/2006/main" id="1" name="CostInputsTable" displayName="CostInputsTable" ref="A4:D15" headerRowCount="1" totalsRowCount="0" totalsRowShown="0">
  <x:tableColumns count="4">
    <x:tableColumn id="1" name="Input"/>
    <x:tableColumn id="2" name="Value"/>
    <x:tableColumn id="3" name="Unit"/>
    <x:tableColumn id="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ueInputsTable" displayName="ValueInputsTable" ref="A4:D10" headerRowCount="1" totalsRowCount="0" totalsRowShown="0">
  <x:tableColumns count="4">
    <x:tableColumn id="1" name="Input"/>
    <x:tableColumn id="2" name="Value"/>
    <x:tableColumn id="3" name="Unit"/>
    <x:tableColumn id="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lutionMenuTable" displayName="SolutionMenuTable" ref="A4:K11" headerRowCount="1" totalsRowCount="0" totalsRowShown="0">
  <x:tableColumns count="11">
    <x:tableColumn id="1" name="Intervention"/>
    <x:tableColumn id="2" name="Primary problem addressed"/>
    <x:tableColumn id="3" name="Likely pilot hub"/>
    <x:tableColumn id="4" name="One-time cost"/>
    <x:tableColumn id="5" name="Monthly recurring cost"/>
    <x:tableColumn id="6" name="Expected on-time pp lift"/>
    <x:tableColumn id="7" name="Expected failed pp reduction"/>
    <x:tableColumn id="8" name="Expected redelivery pp reduction"/>
    <x:tableColumn id="9" name="First-year cost"/>
    <x:tableColumn id="10" name="Estimated monthly value"/>
    <x:tableColumn id="11" name="Breakeven month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wToUseTable" displayName="HowToUseTable" ref="A4:B10" headerRowCount="1" totalsRowCount="0" totalsRowShown="0">
  <x:tableColumns count="2">
    <x:tableColumn id="1" name="Step"/>
    <x:tableColumn id="2" name="What students can 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55953e4b1c47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6772e4222f44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cae384be974d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42d7abe84648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58" hidden="0" customWidth="1"/>
  </x:cols>
  <x:sheetData>
    <x:row r="1">
      <x:c r="A1" s="19" t="str">
        <x:v>SPX Case Cost Inputs</x:v>
      </x:c>
      <x:c r="B1" s="20"/>
      <x:c r="C1" s="20"/>
      <x:c r="D1" s="20"/>
      <x:c r="E1" s="21"/>
      <x:c r="F1" s="22"/>
      <x:c r="G1" s="22"/>
      <x:c r="H1" s="22"/>
      <x:c r="I1" s="22"/>
      <x:c r="J1" s="22"/>
      <x:c r="K1" s="22"/>
    </x:row>
    <x:row r="2">
      <x:c r="A2" s="23" t="str">
        <x:v>Editable rough assumptions for business-case sizing. Values are synthetic and intentionally approximate.</x:v>
      </x:c>
      <x:c r="B2" s="24"/>
      <x:c r="C2" s="24"/>
      <x:c r="D2" s="24"/>
      <x:c r="E2" s="25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 ht="28" customHeight="1">
      <x:c r="A4" s="26" t="str">
        <x:v>Input</x:v>
      </x:c>
      <x:c r="B4" s="26" t="str">
        <x:v>Value</x:v>
      </x:c>
      <x:c r="C4" s="26" t="str">
        <x:v>Unit</x:v>
      </x:c>
      <x:c r="D4" s="26" t="str">
        <x:v>Notes</x:v>
      </x:c>
      <x:c r="E4" s="22"/>
      <x:c r="F4" s="22"/>
      <x:c r="G4" s="22"/>
      <x:c r="H4" s="22"/>
      <x:c r="I4" s="22"/>
      <x:c r="J4" s="22"/>
      <x:c r="K4" s="22"/>
    </x:row>
    <x:row r="5" ht="24" customHeight="1">
      <x:c r="A5" s="27" t="str">
        <x:v>rider_monthly_cost</x:v>
      </x:c>
      <x:c r="B5" s="28" t="n">
        <x:v>26000</x:v>
      </x:c>
      <x:c r="C5" s="27" t="str">
        <x:v>PHP / rider / month</x:v>
      </x:c>
      <x:c r="D5" s="27" t="str">
        <x:v>Fully loaded average monthly rider cost.</x:v>
      </x:c>
      <x:c r="E5" s="22"/>
      <x:c r="F5" s="22"/>
      <x:c r="G5" s="22"/>
      <x:c r="H5" s="22"/>
      <x:c r="I5" s="22"/>
      <x:c r="J5" s="22"/>
      <x:c r="K5" s="22"/>
    </x:row>
    <x:row r="6" ht="24" customHeight="1">
      <x:c r="A6" s="27" t="str">
        <x:v>sorter_monthly_cost</x:v>
      </x:c>
      <x:c r="B6" s="28" t="n">
        <x:v>23000</x:v>
      </x:c>
      <x:c r="C6" s="27" t="str">
        <x:v>PHP / sorter / month</x:v>
      </x:c>
      <x:c r="D6" s="27" t="str">
        <x:v>Fully loaded average sort-staff cost.</x:v>
      </x:c>
      <x:c r="E6" s="22"/>
      <x:c r="F6" s="22"/>
      <x:c r="G6" s="22"/>
      <x:c r="H6" s="22"/>
      <x:c r="I6" s="22"/>
      <x:c r="J6" s="22"/>
      <x:c r="K6" s="22"/>
    </x:row>
    <x:row r="7" ht="24" customHeight="1">
      <x:c r="A7" s="27" t="str">
        <x:v>overtime_hourly_cost</x:v>
      </x:c>
      <x:c r="B7" s="28" t="n">
        <x:v>180</x:v>
      </x:c>
      <x:c r="C7" s="27" t="str">
        <x:v>PHP / hour</x:v>
      </x:c>
      <x:c r="D7" s="27" t="str">
        <x:v>Average overtime premium for operations staff.</x:v>
      </x:c>
      <x:c r="E7" s="22"/>
      <x:c r="F7" s="22"/>
      <x:c r="G7" s="22"/>
      <x:c r="H7" s="22"/>
      <x:c r="I7" s="22"/>
      <x:c r="J7" s="22"/>
      <x:c r="K7" s="22"/>
    </x:row>
    <x:row r="8" ht="24" customHeight="1">
      <x:c r="A8" s="27" t="str">
        <x:v>training_cost_per_hub</x:v>
      </x:c>
      <x:c r="B8" s="28" t="n">
        <x:v>85000</x:v>
      </x:c>
      <x:c r="C8" s="27" t="str">
        <x:v>PHP / hub</x:v>
      </x:c>
      <x:c r="D8" s="27" t="str">
        <x:v>One-time training and rollout enablement.</x:v>
      </x:c>
      <x:c r="E8" s="22"/>
      <x:c r="F8" s="22"/>
      <x:c r="G8" s="22"/>
      <x:c r="H8" s="22"/>
      <x:c r="I8" s="22"/>
      <x:c r="J8" s="22"/>
      <x:c r="K8" s="22"/>
    </x:row>
    <x:row r="9" ht="24" customHeight="1">
      <x:c r="A9" s="27" t="str">
        <x:v>software_tool_rollout_cost</x:v>
      </x:c>
      <x:c r="B9" s="28" t="n">
        <x:v>450000</x:v>
      </x:c>
      <x:c r="C9" s="27" t="str">
        <x:v>PHP / pilot</x:v>
      </x:c>
      <x:c r="D9" s="27" t="str">
        <x:v>Configuration and initial tooling rollout.</x:v>
      </x:c>
      <x:c r="E9" s="22"/>
      <x:c r="F9" s="22"/>
      <x:c r="G9" s="22"/>
      <x:c r="H9" s="22"/>
      <x:c r="I9" s="22"/>
      <x:c r="J9" s="22"/>
      <x:c r="K9" s="22"/>
    </x:row>
    <x:row r="10" ht="24" customHeight="1">
      <x:c r="A10" s="27" t="str">
        <x:v>one_time_implementation_cost</x:v>
      </x:c>
      <x:c r="B10" s="28" t="n">
        <x:v>300000</x:v>
      </x:c>
      <x:c r="C10" s="27" t="str">
        <x:v>PHP / pilot</x:v>
      </x:c>
      <x:c r="D10" s="27" t="str">
        <x:v>Project setup, change management, measurement design.</x:v>
      </x:c>
      <x:c r="E10" s="22"/>
      <x:c r="F10" s="22"/>
      <x:c r="G10" s="22"/>
      <x:c r="H10" s="22"/>
      <x:c r="I10" s="22"/>
      <x:c r="J10" s="22"/>
      <x:c r="K10" s="22"/>
    </x:row>
    <x:row r="11" ht="24" customHeight="1">
      <x:c r="A11" s="27" t="str">
        <x:v>maintenance_cost_monthly</x:v>
      </x:c>
      <x:c r="B11" s="28" t="n">
        <x:v>55000</x:v>
      </x:c>
      <x:c r="C11" s="27" t="str">
        <x:v>PHP / month</x:v>
      </x:c>
      <x:c r="D11" s="27" t="str">
        <x:v>Ongoing support after rollout.</x:v>
      </x:c>
      <x:c r="E11" s="22"/>
      <x:c r="F11" s="22"/>
      <x:c r="G11" s="22"/>
      <x:c r="H11" s="22"/>
      <x:c r="I11" s="22"/>
      <x:c r="J11" s="22"/>
      <x:c r="K11" s="22"/>
    </x:row>
    <x:row r="12" ht="24" customHeight="1">
      <x:c r="A12" s="27" t="str">
        <x:v>failed_delivery_cost</x:v>
      </x:c>
      <x:c r="B12" s="28" t="n">
        <x:v>72</x:v>
      </x:c>
      <x:c r="C12" s="27" t="str">
        <x:v>PHP / failed parcel</x:v>
      </x:c>
      <x:c r="D12" s="27" t="str">
        <x:v>Handling, failed attempt, and service-recovery proxy.</x:v>
      </x:c>
      <x:c r="E12" s="22"/>
      <x:c r="F12" s="22"/>
      <x:c r="G12" s="22"/>
      <x:c r="H12" s="22"/>
      <x:c r="I12" s="22"/>
      <x:c r="J12" s="22"/>
      <x:c r="K12" s="22"/>
    </x:row>
    <x:row r="13" ht="24" customHeight="1">
      <x:c r="A13" s="27" t="str">
        <x:v>redelivery_cost</x:v>
      </x:c>
      <x:c r="B13" s="28" t="n">
        <x:v>54</x:v>
      </x:c>
      <x:c r="C13" s="27" t="str">
        <x:v>PHP / redelivery</x:v>
      </x:c>
      <x:c r="D13" s="27" t="str">
        <x:v>Incremental retry cost.</x:v>
      </x:c>
      <x:c r="E13" s="22"/>
      <x:c r="F13" s="22"/>
      <x:c r="G13" s="22"/>
      <x:c r="H13" s="22"/>
      <x:c r="I13" s="22"/>
      <x:c r="J13" s="22"/>
      <x:c r="K13" s="22"/>
    </x:row>
    <x:row r="14" ht="24" customHeight="1">
      <x:c r="A14" s="27" t="str">
        <x:v>late_delivery_penalty_proxy</x:v>
      </x:c>
      <x:c r="B14" s="28" t="n">
        <x:v>28</x:v>
      </x:c>
      <x:c r="C14" s="27" t="str">
        <x:v>PHP / late parcel</x:v>
      </x:c>
      <x:c r="D14" s="27" t="str">
        <x:v>Service-quality penalty proxy, not contractual accounting.</x:v>
      </x:c>
      <x:c r="E14" s="22"/>
      <x:c r="F14" s="22"/>
      <x:c r="G14" s="22"/>
      <x:c r="H14" s="22"/>
      <x:c r="I14" s="22"/>
      <x:c r="J14" s="22"/>
      <x:c r="K14" s="22"/>
    </x:row>
    <x:row r="15" ht="24" customHeight="1">
      <x:c r="A15" s="27" t="str">
        <x:v>complaint_handling_cost</x:v>
      </x:c>
      <x:c r="B15" s="28" t="n">
        <x:v>95</x:v>
      </x:c>
      <x:c r="C15" s="27" t="str">
        <x:v>PHP / complaint</x:v>
      </x:c>
      <x:c r="D15" s="27" t="str">
        <x:v>Customer support handling proxy.</x:v>
      </x:c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c55953e4b1c47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6" hidden="0" customWidth="1"/>
    <x:col min="4" max="4" width="62" hidden="0" customWidth="1"/>
  </x:cols>
  <x:sheetData>
    <x:row r="1">
      <x:c r="A1" s="19" t="str">
        <x:v>SPX Case Value Inputs</x:v>
      </x:c>
      <x:c r="B1" s="20"/>
      <x:c r="C1" s="20"/>
      <x:c r="D1" s="20"/>
      <x:c r="E1" s="21"/>
      <x:c r="F1" s="22"/>
      <x:c r="G1" s="22"/>
      <x:c r="H1" s="22"/>
      <x:c r="I1" s="22"/>
      <x:c r="J1" s="22"/>
      <x:c r="K1" s="22"/>
    </x:row>
    <x:row r="2">
      <x:c r="A2" s="23" t="str">
        <x:v>Editable value proxies for estimating the benefit of better delivery performance.</x:v>
      </x:c>
      <x:c r="B2" s="24"/>
      <x:c r="C2" s="24"/>
      <x:c r="D2" s="24"/>
      <x:c r="E2" s="25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 ht="28" customHeight="1">
      <x:c r="A4" s="26" t="str">
        <x:v>Input</x:v>
      </x:c>
      <x:c r="B4" s="26" t="str">
        <x:v>Value</x:v>
      </x:c>
      <x:c r="C4" s="26" t="str">
        <x:v>Unit</x:v>
      </x:c>
      <x:c r="D4" s="26" t="str">
        <x:v>Notes</x:v>
      </x:c>
      <x:c r="E4" s="22"/>
      <x:c r="F4" s="22"/>
      <x:c r="G4" s="22"/>
      <x:c r="H4" s="22"/>
      <x:c r="I4" s="22"/>
      <x:c r="J4" s="22"/>
      <x:c r="K4" s="22"/>
    </x:row>
    <x:row r="5" ht="26" customHeight="1">
      <x:c r="A5" s="27" t="str">
        <x:v>monthly_parcel_baseline</x:v>
      </x:c>
      <x:c r="B5" s="28" t="n">
        <x:v>36000</x:v>
      </x:c>
      <x:c r="C5" s="27" t="str">
        <x:v>parcels / month</x:v>
      </x:c>
      <x:c r="D5" s="27" t="str">
        <x:v>Approximate student-case network monthly volume.</x:v>
      </x:c>
      <x:c r="E5" s="22"/>
      <x:c r="F5" s="22"/>
      <x:c r="G5" s="22"/>
      <x:c r="H5" s="22"/>
      <x:c r="I5" s="22"/>
      <x:c r="J5" s="22"/>
      <x:c r="K5" s="22"/>
    </x:row>
    <x:row r="6" ht="26" customHeight="1">
      <x:c r="A6" s="27" t="str">
        <x:v>value_on_time_pp_improvement</x:v>
      </x:c>
      <x:c r="B6" s="28" t="n">
        <x:v>145000</x:v>
      </x:c>
      <x:c r="C6" s="27" t="str">
        <x:v>PHP / month / pp</x:v>
      </x:c>
      <x:c r="D6" s="27" t="str">
        <x:v>Value of improving on-time delivery by 1 percentage point.</x:v>
      </x:c>
      <x:c r="E6" s="22"/>
      <x:c r="F6" s="22"/>
      <x:c r="G6" s="22"/>
      <x:c r="H6" s="22"/>
      <x:c r="I6" s="22"/>
      <x:c r="J6" s="22"/>
      <x:c r="K6" s="22"/>
    </x:row>
    <x:row r="7" ht="26" customHeight="1">
      <x:c r="A7" s="27" t="str">
        <x:v>value_failed_pp_reduction</x:v>
      </x:c>
      <x:c r="B7" s="28" t="n">
        <x:v>210000</x:v>
      </x:c>
      <x:c r="C7" s="27" t="str">
        <x:v>PHP / month / pp</x:v>
      </x:c>
      <x:c r="D7" s="27" t="str">
        <x:v>Value of reducing failed deliveries by 1 percentage point.</x:v>
      </x:c>
      <x:c r="E7" s="22"/>
      <x:c r="F7" s="22"/>
      <x:c r="G7" s="22"/>
      <x:c r="H7" s="22"/>
      <x:c r="I7" s="22"/>
      <x:c r="J7" s="22"/>
      <x:c r="K7" s="22"/>
    </x:row>
    <x:row r="8" ht="26" customHeight="1">
      <x:c r="A8" s="27" t="str">
        <x:v>value_redelivery_pp_reduction</x:v>
      </x:c>
      <x:c r="B8" s="28" t="n">
        <x:v>90000</x:v>
      </x:c>
      <x:c r="C8" s="27" t="str">
        <x:v>PHP / month / pp</x:v>
      </x:c>
      <x:c r="D8" s="27" t="str">
        <x:v>Value of reducing redeliveries by 1 percentage point.</x:v>
      </x:c>
      <x:c r="E8" s="22"/>
      <x:c r="F8" s="22"/>
      <x:c r="G8" s="22"/>
      <x:c r="H8" s="22"/>
      <x:c r="I8" s="22"/>
      <x:c r="J8" s="22"/>
      <x:c r="K8" s="22"/>
    </x:row>
    <x:row r="9" ht="26" customHeight="1">
      <x:c r="A9" s="27" t="str">
        <x:v>reputation_service_proxy_monthly</x:v>
      </x:c>
      <x:c r="B9" s="28" t="n">
        <x:v>75000</x:v>
      </x:c>
      <x:c r="C9" s="27" t="str">
        <x:v>PHP / month</x:v>
      </x:c>
      <x:c r="D9" s="27" t="str">
        <x:v>Simple optional proxy for material customer-experience gains.</x:v>
      </x:c>
      <x:c r="E9" s="22"/>
      <x:c r="F9" s="22"/>
      <x:c r="G9" s="22"/>
      <x:c r="H9" s="22"/>
      <x:c r="I9" s="22"/>
      <x:c r="J9" s="22"/>
      <x:c r="K9" s="22"/>
    </x:row>
    <x:row r="10" ht="26" customHeight="1">
      <x:c r="A10" s="27" t="str">
        <x:v>measurement_window_months</x:v>
      </x:c>
      <x:c r="B10" s="28" t="n">
        <x:v>3</x:v>
      </x:c>
      <x:c r="C10" s="27" t="str">
        <x:v>months</x:v>
      </x:c>
      <x:c r="D10" s="27" t="str">
        <x:v>Suggested pilot readout window.</x:v>
      </x:c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36772e4222f44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19" t="str">
        <x:v>SPX Solution Menu</x:v>
      </x:c>
      <x:c r="B1" s="20"/>
      <x:c r="C1" s="20"/>
      <x:c r="D1" s="20"/>
      <x:c r="E1" s="21"/>
      <x:c r="F1" s="22"/>
      <x:c r="G1" s="22"/>
      <x:c r="H1" s="22"/>
      <x:c r="I1" s="22"/>
      <x:c r="J1" s="22"/>
      <x:c r="K1" s="22"/>
    </x:row>
    <x:row r="2">
      <x:c r="A2" s="23" t="str">
        <x:v>Students may use, adapt, or ignore these assumptions when comparing possible interventions.</x:v>
      </x:c>
      <x:c r="B2" s="24"/>
      <x:c r="C2" s="24"/>
      <x:c r="D2" s="24"/>
      <x:c r="E2" s="25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 ht="44" customHeight="1">
      <x:c r="A4" s="26" t="str">
        <x:v>Intervention</x:v>
      </x:c>
      <x:c r="B4" s="26" t="str">
        <x:v>Primary problem addressed</x:v>
      </x:c>
      <x:c r="C4" s="26" t="str">
        <x:v>Likely pilot hub</x:v>
      </x:c>
      <x:c r="D4" s="26" t="str">
        <x:v>One-time cost</x:v>
      </x:c>
      <x:c r="E4" s="26" t="str">
        <x:v>Monthly recurring cost</x:v>
      </x:c>
      <x:c r="F4" s="26" t="str">
        <x:v>Expected on-time pp lift</x:v>
      </x:c>
      <x:c r="G4" s="26" t="str">
        <x:v>Expected failed pp reduction</x:v>
      </x:c>
      <x:c r="H4" s="26" t="str">
        <x:v>Expected redelivery pp reduction</x:v>
      </x:c>
      <x:c r="I4" s="26" t="str">
        <x:v>First-year cost</x:v>
      </x:c>
      <x:c r="J4" s="26" t="str">
        <x:v>Estimated monthly value</x:v>
      </x:c>
      <x:c r="K4" s="26" t="str">
        <x:v>Breakeven months</x:v>
      </x:c>
    </x:row>
    <x:row r="5" ht="28" customHeight="1">
      <x:c r="A5" s="27" t="str">
        <x:v>add riders</x:v>
      </x:c>
      <x:c r="B5" s="27" t="str">
        <x:v>rider capacity</x:v>
      </x:c>
      <x:c r="C5" s="27" t="str">
        <x:v>HUB_C_SOUTH</x:v>
      </x:c>
      <x:c r="D5" s="28" t="n">
        <x:v>60000</x:v>
      </x:c>
      <x:c r="E5" s="28" t="n">
        <x:v>104000</x:v>
      </x:c>
      <x:c r="F5" s="29" t="n">
        <x:v>1.6</x:v>
      </x:c>
      <x:c r="G5" s="29" t="n">
        <x:v>0.7</x:v>
      </x:c>
      <x:c r="H5" s="29" t="n">
        <x:v>0.4</x:v>
      </x:c>
      <x:c r="I5" s="28" t="n">
        <x:f>D5+(E5*12)</x:f>
        <x:v>1308000</x:v>
      </x:c>
      <x:c r="J5" s="28" t="n">
        <x:f>(F5*'value_inputs'!$B$6)+(G5*'value_inputs'!$B$7)+(H5*'value_inputs'!$B$8)</x:f>
        <x:v>415000</x:v>
      </x:c>
      <x:c r="K5" s="29" t="n">
        <x:f>IF(J5&gt;0,D5/J5,"")</x:f>
        <x:v>0.14457831325301204</x:v>
      </x:c>
    </x:row>
    <x:row r="6" ht="28" customHeight="1">
      <x:c r="A6" s="27" t="str">
        <x:v>add sorting staff</x:v>
      </x:c>
      <x:c r="B6" s="27" t="str">
        <x:v>hub backlog</x:v>
      </x:c>
      <x:c r="C6" s="27" t="str">
        <x:v>HUB_C_SOUTH</x:v>
      </x:c>
      <x:c r="D6" s="28" t="n">
        <x:v>70000</x:v>
      </x:c>
      <x:c r="E6" s="28" t="n">
        <x:v>69000</x:v>
      </x:c>
      <x:c r="F6" s="29" t="n">
        <x:v>1.1</x:v>
      </x:c>
      <x:c r="G6" s="29" t="n">
        <x:v>0.5</x:v>
      </x:c>
      <x:c r="H6" s="29" t="n">
        <x:v>0.2</x:v>
      </x:c>
      <x:c r="I6" s="28" t="n">
        <x:f>D6+(E6*12)</x:f>
        <x:v>898000</x:v>
      </x:c>
      <x:c r="J6" s="28" t="n">
        <x:f>(F6*'value_inputs'!$B$6)+(G6*'value_inputs'!$B$7)+(H6*'value_inputs'!$B$8)</x:f>
        <x:v>282500</x:v>
      </x:c>
      <x:c r="K6" s="29" t="n">
        <x:f>IF(J6&gt;0,D6/J6,"")</x:f>
        <x:v>0.24778761061946902</x:v>
      </x:c>
    </x:row>
    <x:row r="7" ht="28" customHeight="1">
      <x:c r="A7" s="27" t="str">
        <x:v>improve dispatch prioritization</x:v>
      </x:c>
      <x:c r="B7" s="27" t="str">
        <x:v>routing delay</x:v>
      </x:c>
      <x:c r="C7" s="27" t="str">
        <x:v>HUB_C_SOUTH</x:v>
      </x:c>
      <x:c r="D7" s="28" t="n">
        <x:v>280000</x:v>
      </x:c>
      <x:c r="E7" s="28" t="n">
        <x:v>45000</x:v>
      </x:c>
      <x:c r="F7" s="29" t="n">
        <x:v>2</x:v>
      </x:c>
      <x:c r="G7" s="29" t="n">
        <x:v>0.4</x:v>
      </x:c>
      <x:c r="H7" s="29" t="n">
        <x:v>0.3</x:v>
      </x:c>
      <x:c r="I7" s="28" t="n">
        <x:f>D7+(E7*12)</x:f>
        <x:v>820000</x:v>
      </x:c>
      <x:c r="J7" s="28" t="n">
        <x:f>(F7*'value_inputs'!$B$6)+(G7*'value_inputs'!$B$7)+(H7*'value_inputs'!$B$8)</x:f>
        <x:v>401000</x:v>
      </x:c>
      <x:c r="K7" s="29" t="n">
        <x:f>IF(J7&gt;0,D7/J7,"")</x:f>
        <x:v>0.6982543640897756</x:v>
      </x:c>
    </x:row>
    <x:row r="8" ht="28" customHeight="1">
      <x:c r="A8" s="27" t="str">
        <x:v>address quality check process</x:v>
      </x:c>
      <x:c r="B8" s="27" t="str">
        <x:v>bad address</x:v>
      </x:c>
      <x:c r="C8" s="27" t="str">
        <x:v>HUB_E_WEST</x:v>
      </x:c>
      <x:c r="D8" s="28" t="n">
        <x:v>180000</x:v>
      </x:c>
      <x:c r="E8" s="28" t="n">
        <x:v>30000</x:v>
      </x:c>
      <x:c r="F8" s="29" t="n">
        <x:v>0.6</x:v>
      </x:c>
      <x:c r="G8" s="29" t="n">
        <x:v>1.4</x:v>
      </x:c>
      <x:c r="H8" s="29" t="n">
        <x:v>0.7</x:v>
      </x:c>
      <x:c r="I8" s="28" t="n">
        <x:f>D8+(E8*12)</x:f>
        <x:v>540000</x:v>
      </x:c>
      <x:c r="J8" s="28" t="n">
        <x:f>(F8*'value_inputs'!$B$6)+(G8*'value_inputs'!$B$7)+(H8*'value_inputs'!$B$8)</x:f>
        <x:v>444000</x:v>
      </x:c>
      <x:c r="K8" s="29" t="n">
        <x:f>IF(J8&gt;0,D8/J8,"")</x:f>
        <x:v>0.40540540540540543</x:v>
      </x:c>
    </x:row>
    <x:row r="9" ht="28" customHeight="1">
      <x:c r="A9" s="27" t="str">
        <x:v>rider routing support tool</x:v>
      </x:c>
      <x:c r="B9" s="27" t="str">
        <x:v>routing delay</x:v>
      </x:c>
      <x:c r="C9" s="27" t="str">
        <x:v>HUB_F_RIVER</x:v>
      </x:c>
      <x:c r="D9" s="28" t="n">
        <x:v>450000</x:v>
      </x:c>
      <x:c r="E9" s="28" t="n">
        <x:v>55000</x:v>
      </x:c>
      <x:c r="F9" s="29" t="n">
        <x:v>1.8</x:v>
      </x:c>
      <x:c r="G9" s="29" t="n">
        <x:v>0.6</x:v>
      </x:c>
      <x:c r="H9" s="29" t="n">
        <x:v>0.4</x:v>
      </x:c>
      <x:c r="I9" s="28" t="n">
        <x:f>D9+(E9*12)</x:f>
        <x:v>1110000</x:v>
      </x:c>
      <x:c r="J9" s="28" t="n">
        <x:f>(F9*'value_inputs'!$B$6)+(G9*'value_inputs'!$B$7)+(H9*'value_inputs'!$B$8)</x:f>
        <x:v>423000</x:v>
      </x:c>
      <x:c r="K9" s="29" t="n">
        <x:f>IF(J9&gt;0,D9/J9,"")</x:f>
        <x:v>1.0638297872340425</x:v>
      </x:c>
    </x:row>
    <x:row r="10" ht="28" customHeight="1">
      <x:c r="A10" s="27" t="str">
        <x:v>delivery risk prediction tool</x:v>
      </x:c>
      <x:c r="B10" s="27" t="str">
        <x:v>mixed risk</x:v>
      </x:c>
      <x:c r="C10" s="27" t="str">
        <x:v>Network pilot</x:v>
      </x:c>
      <x:c r="D10" s="28" t="n">
        <x:v>650000</x:v>
      </x:c>
      <x:c r="E10" s="28" t="n">
        <x:v>85000</x:v>
      </x:c>
      <x:c r="F10" s="29" t="n">
        <x:v>1.4</x:v>
      </x:c>
      <x:c r="G10" s="29" t="n">
        <x:v>1</x:v>
      </x:c>
      <x:c r="H10" s="29" t="n">
        <x:v>0.8</x:v>
      </x:c>
      <x:c r="I10" s="28" t="n">
        <x:f>D10+(E10*12)</x:f>
        <x:v>1670000</x:v>
      </x:c>
      <x:c r="J10" s="28" t="n">
        <x:f>(F10*'value_inputs'!$B$6)+(G10*'value_inputs'!$B$7)+(H10*'value_inputs'!$B$8)</x:f>
        <x:v>485000</x:v>
      </x:c>
      <x:c r="K10" s="29" t="n">
        <x:f>IF(J10&gt;0,D10/J10,"")</x:f>
        <x:v>1.3402061855670102</x:v>
      </x:c>
    </x:row>
    <x:row r="11" ht="28" customHeight="1">
      <x:c r="A11" s="27" t="str">
        <x:v>hub workload forecasting</x:v>
      </x:c>
      <x:c r="B11" s="27" t="str">
        <x:v>capacity planning</x:v>
      </x:c>
      <x:c r="C11" s="27" t="str">
        <x:v>HUB_C_SOUTH</x:v>
      </x:c>
      <x:c r="D11" s="28" t="n">
        <x:v>360000</x:v>
      </x:c>
      <x:c r="E11" s="28" t="n">
        <x:v>50000</x:v>
      </x:c>
      <x:c r="F11" s="29" t="n">
        <x:v>1.3</x:v>
      </x:c>
      <x:c r="G11" s="29" t="n">
        <x:v>0.7</x:v>
      </x:c>
      <x:c r="H11" s="29" t="n">
        <x:v>0.4</x:v>
      </x:c>
      <x:c r="I11" s="28" t="n">
        <x:f>D11+(E11*12)</x:f>
        <x:v>960000</x:v>
      </x:c>
      <x:c r="J11" s="28" t="n">
        <x:f>(F11*'value_inputs'!$B$6)+(G11*'value_inputs'!$B$7)+(H11*'value_inputs'!$B$8)</x:f>
        <x:v>371500</x:v>
      </x:c>
      <x:c r="K11" s="29" t="n">
        <x:f>IF(J11&gt;0,D11/J11,"")</x:f>
        <x:v>0.9690444145356663</x:v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0cae384be974d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0" hidden="0" customWidth="1"/>
  </x:cols>
  <x:sheetData>
    <x:row r="1">
      <x:c r="A1" s="19" t="str">
        <x:v>How To Use This Workbook</x:v>
      </x:c>
      <x:c r="B1" s="20"/>
      <x:c r="C1" s="20"/>
      <x:c r="D1" s="20"/>
      <x:c r="E1" s="21"/>
      <x:c r="F1" s="22"/>
      <x:c r="G1" s="22"/>
      <x:c r="H1" s="22"/>
      <x:c r="I1" s="22"/>
      <x:c r="J1" s="22"/>
      <x:c r="K1" s="22"/>
    </x:row>
    <x:row r="2">
      <x:c r="A2" s="23" t="str">
        <x:v>A simple path for sizing a first test from the synthetic case data.</x:v>
      </x:c>
      <x:c r="B2" s="24"/>
      <x:c r="C2" s="24"/>
      <x:c r="D2" s="24"/>
      <x:c r="E2" s="25"/>
      <x:c r="F2" s="22"/>
      <x:c r="G2" s="22"/>
      <x:c r="H2" s="22"/>
      <x:c r="I2" s="22"/>
      <x:c r="J2" s="22"/>
      <x:c r="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 ht="28" customHeight="1">
      <x:c r="A4" s="26" t="str">
        <x:v>Step</x:v>
      </x:c>
      <x:c r="B4" s="26" t="str">
        <x:v>What students can do</x:v>
      </x:c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2" customHeight="1">
      <x:c r="A5" s="27" t="str">
        <x:v>1</x:v>
      </x:c>
      <x:c r="B5" s="27" t="str">
        <x:v>Diagnose the biggest delivery problem using parcel_history.csv and hub_daily_operations.csv.</x:v>
      </x:c>
      <x:c r="C5" s="22"/>
      <x:c r="D5" s="22"/>
      <x:c r="E5" s="22"/>
      <x:c r="F5" s="22"/>
      <x:c r="G5" s="22"/>
      <x:c r="H5" s="22"/>
      <x:c r="I5" s="22"/>
      <x:c r="J5" s="22"/>
      <x:c r="K5" s="22"/>
    </x:row>
    <x:row r="6" ht="32" customHeight="1">
      <x:c r="A6" s="27" t="str">
        <x:v>2</x:v>
      </x:c>
      <x:c r="B6" s="27" t="str">
        <x:v>Choose one practical intervention from solution_menu or create a modified version.</x:v>
      </x:c>
      <x:c r="C6" s="22"/>
      <x:c r="D6" s="22"/>
      <x:c r="E6" s="22"/>
      <x:c r="F6" s="22"/>
      <x:c r="G6" s="22"/>
      <x:c r="H6" s="22"/>
      <x:c r="I6" s="22"/>
      <x:c r="J6" s="22"/>
      <x:c r="K6" s="22"/>
    </x:row>
    <x:row r="7" ht="32" customHeight="1">
      <x:c r="A7" s="27" t="str">
        <x:v>3</x:v>
      </x:c>
      <x:c r="B7" s="27" t="str">
        <x:v>Use cost_inputs and value_inputs to estimate the rough cost and value of a pilot.</x:v>
      </x:c>
      <x:c r="C7" s="22"/>
      <x:c r="D7" s="22"/>
      <x:c r="E7" s="22"/>
      <x:c r="F7" s="22"/>
      <x:c r="G7" s="22"/>
      <x:c r="H7" s="22"/>
      <x:c r="I7" s="22"/>
      <x:c r="J7" s="22"/>
      <x:c r="K7" s="22"/>
    </x:row>
    <x:row r="8" ht="32" customHeight="1">
      <x:c r="A8" s="27" t="str">
        <x:v>4</x:v>
      </x:c>
      <x:c r="B8" s="27" t="str">
        <x:v>Compare breakeven months and feasibility. Lower cost is not automatically better if the operational fit is weak.</x:v>
      </x:c>
      <x:c r="C8" s="22"/>
      <x:c r="D8" s="22"/>
      <x:c r="E8" s="22"/>
      <x:c r="F8" s="22"/>
      <x:c r="G8" s="22"/>
      <x:c r="H8" s="22"/>
      <x:c r="I8" s="22"/>
      <x:c r="J8" s="22"/>
      <x:c r="K8" s="22"/>
    </x:row>
    <x:row r="9" ht="32" customHeight="1">
      <x:c r="A9" s="27" t="str">
        <x:v>5</x:v>
      </x:c>
      <x:c r="B9" s="27" t="str">
        <x:v>Define success metrics before launch, such as late rate, failure rate, retry rate, and complaints per parcel.</x:v>
      </x:c>
      <x:c r="C9" s="22"/>
      <x:c r="D9" s="22"/>
      <x:c r="E9" s="22"/>
      <x:c r="F9" s="22"/>
      <x:c r="G9" s="22"/>
      <x:c r="H9" s="22"/>
      <x:c r="I9" s="22"/>
      <x:c r="J9" s="22"/>
      <x:c r="K9" s="22"/>
    </x:row>
    <x:row r="10" ht="32" customHeight="1">
      <x:c r="A10" s="27" t="str">
        <x:v>Note</x:v>
      </x:c>
      <x:c r="B10" s="27" t="str">
        <x:v>These numbers are learning assumptions, not finance-grade SPX data.</x:v>
      </x:c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442d7abe8464856"/>
  </x:tableParts>
</x:worksheet>
</file>